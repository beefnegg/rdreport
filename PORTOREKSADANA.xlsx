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<sst xmlns="http://schemas.openxmlformats.org/spreadsheetml/2006/main" count="16" uniqueCount="16">
  <si>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REKSADANA</t>
  </si>
  <si>
    <t>NAV MODAL</t>
  </si>
  <si>
    <t>NAV TODAY</t>
  </si>
  <si>
    <t>G/L%</t>
  </si>
  <si>
    <t>UNIT</t>
  </si>
  <si>
    <t>MODAL AWAL</t>
  </si>
  <si>
    <t>NILAI SAAT INI</t>
  </si>
  <si>
    <t>POTENSI GAIN/LOSS</t>
  </si>
  <si>
    <t>TANGGAL BELI</t>
  </si>
  <si>
    <t>TANGGAL JUAL</t>
  </si>
  <si>
    <t>NAV JUAL</t>
  </si>
  <si>
    <t>NOMINAL JUAL</t>
  </si>
  <si>
    <t>GAIN/LOSS REALIZED</t>
  </si>
  <si>
    <t>JUMLAH HARI</t>
  </si>
  <si>
    <t>Trimegah Dana Tetap Syariah Kelas A</t>
  </si>
  <si>
    <t>Sucorinvest Money Market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</si>
</sst>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#,##0.00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5" fillId="3" fontId="1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4" xfId="0" applyAlignment="1" applyBorder="1" applyFont="1" applyNumberFormat="1">
      <alignment horizontal="right" vertical="bottom"/>
    </xf>
    <xf borderId="5" fillId="0" fontId="2" numFmtId="4" xfId="0" applyAlignment="1" applyBorder="1" applyFont="1" applyNumberFormat="1">
      <alignment horizontal="right" vertical="bottom"/>
    </xf>
    <xf borderId="5" fillId="0" fontId="2" numFmtId="10" xfId="0" applyAlignment="1" applyBorder="1" applyFont="1" applyNumberFormat="1">
      <alignment horizontal="right" vertical="bottom"/>
    </xf>
    <xf borderId="5" fillId="0" fontId="2" numFmtId="164" xfId="0" applyAlignment="1" applyBorder="1" applyFont="1" applyNumberFormat="1">
      <alignment horizontal="right" vertical="bottom"/>
    </xf>
    <xf borderId="5" fillId="0" fontId="2" numFmtId="165" xfId="0" applyAlignment="1" applyBorder="1" applyFont="1" applyNumberFormat="1">
      <alignment horizontal="right" vertical="bottom"/>
    </xf>
    <xf borderId="5" fillId="0" fontId="2" numFmtId="3" xfId="0" applyAlignment="1" applyBorder="1" applyFont="1" applyNumberFormat="1">
      <alignment horizontal="right" vertical="bottom"/>
    </xf>
    <xf borderId="5" fillId="0" fontId="2" numFmtId="3" xfId="0" applyAlignment="1" applyBorder="1" applyFont="1" applyNumberFormat="1">
      <alignment horizontal="right" vertical="bottom"/>
    </xf>
    <xf borderId="5" fillId="0" fontId="2" numFmtId="1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vertical="bottom"/>
    </xf>
    <xf borderId="5" fillId="0" fontId="2" numFmtId="165" xfId="0" applyAlignment="1" applyBorder="1" applyFont="1" applyNumberFormat="1">
      <alignment vertical="bottom"/>
    </xf>
    <xf borderId="5" fillId="0" fontId="2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11.0"/>
    <col customWidth="1" min="3" max="3" width="10.5"/>
    <col customWidth="1" min="4" max="4" width="5.25"/>
    <col customWidth="1" min="5" max="5" width="8.38"/>
    <col customWidth="1" min="6" max="6" width="12.63"/>
    <col customWidth="1" min="7" max="7" width="12.88"/>
    <col customWidth="1" min="8" max="8" width="18.0"/>
    <col customWidth="1" min="9" max="9" width="13.38"/>
    <col customWidth="1" min="10" max="10" width="13.88"/>
    <col customWidth="1" min="11" max="11" width="9.38"/>
    <col customWidth="1" min="12" max="12" width="13.63"/>
    <col customWidth="1" min="13" max="13" width="19.0"/>
    <col customWidth="1" min="14" max="14" width="12.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>
      <c r="A2" s="6" t="s">
        <v>14</v>
      </c>
      <c r="B2" s="7">
        <v>1508.52</v>
      </c>
      <c r="C2" s="8" t="str">
        <f>IFERROR(__xludf.DUMMYFUNCTION("IMPORTXML(""https://www.bareksa.com/id/data/reksadana/4033/trimegah-dana-tetap-syariah-kelas-a"",""//span[@class='fS40']"")"),"#N/A")</f>
        <v>#N/A</v>
      </c>
      <c r="D2" s="9" t="str">
        <f t="shared" ref="D2:D3" si="2">IF(C2&lt;&gt;"",(C2-B2)/B2,"")</f>
        <v>#N/A</v>
      </c>
      <c r="E2" s="7">
        <v>132580.6377</v>
      </c>
      <c r="F2" s="7">
        <f t="shared" ref="F2:F3" si="3">E2*B2</f>
        <v>200000543.6</v>
      </c>
      <c r="G2" s="7" t="str">
        <f t="shared" ref="G2:H2" si="1">E2*C2</f>
        <v>#N/A</v>
      </c>
      <c r="H2" s="7" t="str">
        <f t="shared" si="1"/>
        <v>#N/A</v>
      </c>
      <c r="I2" s="10">
        <v>45987.0</v>
      </c>
      <c r="J2" s="10">
        <v>46149.0</v>
      </c>
      <c r="K2" s="11">
        <v>1507.2241</v>
      </c>
      <c r="L2" s="12">
        <v>1.99828732E8</v>
      </c>
      <c r="M2" s="13">
        <f>L2-200000000</f>
        <v>-171268</v>
      </c>
      <c r="N2" s="14">
        <f t="shared" ref="N2:N3" si="5">IF(J2&lt;&gt;"",(J2-I2),(TODAY()-I2))</f>
        <v>162</v>
      </c>
    </row>
    <row r="3">
      <c r="A3" s="6" t="s">
        <v>15</v>
      </c>
      <c r="B3" s="7">
        <v>1963.89</v>
      </c>
      <c r="C3" s="8" t="str">
        <f>IFERROR(__xludf.DUMMYFUNCTION("IMPORTXML(""https://www.bareksa.com/id/data/reksadana/1742/sucorinvest-money-market-fund"",""//span[@class='fS40']"")"),"#N/A")</f>
        <v>#N/A</v>
      </c>
      <c r="D3" s="9" t="str">
        <f t="shared" si="2"/>
        <v>#N/A</v>
      </c>
      <c r="E3" s="7">
        <f>200000000/B3</f>
        <v>101838.6977</v>
      </c>
      <c r="F3" s="7">
        <f t="shared" si="3"/>
        <v>200000000</v>
      </c>
      <c r="G3" s="7" t="str">
        <f t="shared" ref="G3:H3" si="4">E3*C3</f>
        <v>#N/A</v>
      </c>
      <c r="H3" s="7" t="str">
        <f t="shared" si="4"/>
        <v>#N/A</v>
      </c>
      <c r="I3" s="10">
        <v>46149.0</v>
      </c>
      <c r="J3" s="15"/>
      <c r="K3" s="16"/>
      <c r="L3" s="17"/>
      <c r="M3" s="17"/>
      <c r="N3" s="14">
        <f t="shared" si="5"/>
        <v>28</v>
      </c>
    </row>
  </sheetData>
  <drawing r:id="rId1"/>
</worksheet>
</file>